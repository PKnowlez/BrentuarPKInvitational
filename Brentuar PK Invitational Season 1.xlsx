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5"/>
    <sheet state="visible" name="Scoring" sheetId="2" r:id="rId6"/>
    <sheet state="visible" name="Team Results" sheetId="3" r:id="rId7"/>
    <sheet state="visible" name="Individual Results" sheetId="4" r:id="rId8"/>
    <sheet state="visible" name="Fall Guys Results" sheetId="5" r:id="rId9"/>
    <sheet state="visible" name="Halo Results AOB" sheetId="6" r:id="rId10"/>
    <sheet state="visible" name="Halo Results LG" sheetId="7" r:id="rId11"/>
    <sheet state="visible" name="Halo Results OB" sheetId="8" r:id="rId12"/>
    <sheet state="visible" name="Halo Results CTF" sheetId="9" r:id="rId13"/>
    <sheet state="visible" name="Halo Results" sheetId="10" r:id="rId14"/>
    <sheet state="visible" name="Formula 1 Results" sheetId="11" r:id="rId15"/>
  </sheets>
  <definedNames/>
  <calcPr/>
</workbook>
</file>

<file path=xl/sharedStrings.xml><?xml version="1.0" encoding="utf-8"?>
<sst xmlns="http://schemas.openxmlformats.org/spreadsheetml/2006/main" count="240" uniqueCount="75">
  <si>
    <t>Team Brentuar</t>
  </si>
  <si>
    <t>Fall Guys
Wednesday
April 29</t>
  </si>
  <si>
    <t>Halo
Wednesday
May 6</t>
  </si>
  <si>
    <t>F1
Wednesday
May 13</t>
  </si>
  <si>
    <t>Team PK</t>
  </si>
  <si>
    <t>Brentuar</t>
  </si>
  <si>
    <t>x</t>
  </si>
  <si>
    <t>PK</t>
  </si>
  <si>
    <t>Newman</t>
  </si>
  <si>
    <t>Josh Rosario</t>
  </si>
  <si>
    <t>PretZilla</t>
  </si>
  <si>
    <t>Connor</t>
  </si>
  <si>
    <t>Queen</t>
  </si>
  <si>
    <t>Eddie</t>
  </si>
  <si>
    <t>Nick</t>
  </si>
  <si>
    <t>Josh Crane</t>
  </si>
  <si>
    <t>Erick</t>
  </si>
  <si>
    <t>Josh Anderson</t>
  </si>
  <si>
    <t>Grayson</t>
  </si>
  <si>
    <t>Halo</t>
  </si>
  <si>
    <t>Win</t>
  </si>
  <si>
    <t>Kill</t>
  </si>
  <si>
    <t>Assist</t>
  </si>
  <si>
    <t>Total Available Points</t>
  </si>
  <si>
    <t>Land Grab</t>
  </si>
  <si>
    <t>40 + 40 (max) = 80 MAXIMUM</t>
  </si>
  <si>
    <t>Assault One Bomb</t>
  </si>
  <si>
    <t>Oddball</t>
  </si>
  <si>
    <t>Capture The Flag</t>
  </si>
  <si>
    <t>Fall Guys</t>
  </si>
  <si>
    <t>Dynamic Duos / Ball Blast</t>
  </si>
  <si>
    <t>Fall Ball Cup / Royal Fumble</t>
  </si>
  <si>
    <t>Pegwin Palooza</t>
  </si>
  <si>
    <t>Jump Around</t>
  </si>
  <si>
    <t>Duos / Day at the Races</t>
  </si>
  <si>
    <t>Thin Ice</t>
  </si>
  <si>
    <t>Solos</t>
  </si>
  <si>
    <t>Formula 1</t>
  </si>
  <si>
    <t>Qualifying</t>
  </si>
  <si>
    <t>Sprint</t>
  </si>
  <si>
    <t>Race</t>
  </si>
  <si>
    <t>Bonus Points</t>
  </si>
  <si>
    <t>First</t>
  </si>
  <si>
    <t>FL Sprint</t>
  </si>
  <si>
    <t>Second</t>
  </si>
  <si>
    <t>FL Race</t>
  </si>
  <si>
    <t>Third</t>
  </si>
  <si>
    <t>DOTD</t>
  </si>
  <si>
    <t>Fourth</t>
  </si>
  <si>
    <t>MOT</t>
  </si>
  <si>
    <t>Fifth</t>
  </si>
  <si>
    <t>CD</t>
  </si>
  <si>
    <t>Sixth</t>
  </si>
  <si>
    <t>Seventh</t>
  </si>
  <si>
    <t>Eighth</t>
  </si>
  <si>
    <t>Team</t>
  </si>
  <si>
    <t>Total</t>
  </si>
  <si>
    <t>Player</t>
  </si>
  <si>
    <t>Game Mode</t>
  </si>
  <si>
    <t>Winner</t>
  </si>
  <si>
    <t>Points</t>
  </si>
  <si>
    <t>Royal Fumble</t>
  </si>
  <si>
    <t>Blast Ball Bangers</t>
  </si>
  <si>
    <t>Day at the Races</t>
  </si>
  <si>
    <t>Fan Favorites</t>
  </si>
  <si>
    <t>Finals Marathon</t>
  </si>
  <si>
    <t>Kills</t>
  </si>
  <si>
    <t>Assists</t>
  </si>
  <si>
    <t>Driver</t>
  </si>
  <si>
    <t>Sprint FL</t>
  </si>
  <si>
    <t>Race FL</t>
  </si>
  <si>
    <t>Sprint Place</t>
  </si>
  <si>
    <t>Sprint Points</t>
  </si>
  <si>
    <t>Race Place</t>
  </si>
  <si>
    <t>Race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</si>
</sst>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9" fillId="0" fontId="1" numFmtId="0" xfId="0" applyAlignment="1" applyBorder="1" applyFont="1">
      <alignment readingOrder="0"/>
    </xf>
    <xf borderId="9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2">
    <tableStyle count="4" pivot="0" name="Te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am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" displayName="Table1" name="Table1" id="1">
  <tableColumns count="4">
    <tableColumn name="Team Brentuar" id="1"/>
    <tableColumn name="Fall Guys_x000a_Wednesday_x000a_April 29" id="2"/>
    <tableColumn name="Halo_x000a_Wednesday_x000a_May 6" id="3"/>
    <tableColumn name="F1_x000a_Wednesday_x000a_May 13" id="4"/>
  </tableColumns>
  <tableStyleInfo name="Teams-style" showColumnStripes="0" showFirstColumn="1" showLastColumn="1" showRowStripes="1"/>
</table>
</file>

<file path=xl/tables/table2.xml><?xml version="1.0" encoding="utf-8"?>
<table xmlns="http://schemas.openxmlformats.org/spreadsheetml/2006/main" ref="F1:I7" displayName="Table3" name="Table3" id="2">
  <tableColumns count="4">
    <tableColumn name="Team PK" id="1"/>
    <tableColumn name="Fall Guys_x000a_Wednesday_x000a_April 29" id="2"/>
    <tableColumn name="Halo_x000a_Wednesday_x000a_May 6" id="3"/>
    <tableColumn name="F1_x000a_Wednesday_x000a_May 13" id="4"/>
  </tableColumns>
  <tableStyleInfo name="Team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4" width="14.13"/>
    <col customWidth="1" min="6" max="6" width="13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F1" s="1" t="s">
        <v>4</v>
      </c>
      <c r="G1" s="2" t="s">
        <v>1</v>
      </c>
      <c r="H1" s="2" t="s">
        <v>2</v>
      </c>
      <c r="I1" s="2" t="s">
        <v>3</v>
      </c>
    </row>
    <row r="2" ht="22.5" customHeight="1">
      <c r="A2" s="3" t="s">
        <v>5</v>
      </c>
      <c r="B2" s="4" t="s">
        <v>6</v>
      </c>
      <c r="C2" s="4" t="s">
        <v>6</v>
      </c>
      <c r="D2" s="5" t="s">
        <v>6</v>
      </c>
      <c r="F2" s="3" t="s">
        <v>7</v>
      </c>
      <c r="G2" s="4" t="s">
        <v>6</v>
      </c>
      <c r="H2" s="4" t="s">
        <v>6</v>
      </c>
      <c r="I2" s="5" t="s">
        <v>6</v>
      </c>
    </row>
    <row r="3" ht="22.5" customHeight="1">
      <c r="A3" s="6" t="s">
        <v>8</v>
      </c>
      <c r="B3" s="7" t="s">
        <v>6</v>
      </c>
      <c r="C3" s="8"/>
      <c r="D3" s="9" t="s">
        <v>6</v>
      </c>
      <c r="F3" s="6" t="s">
        <v>9</v>
      </c>
      <c r="G3" s="7" t="s">
        <v>6</v>
      </c>
      <c r="H3" s="8"/>
      <c r="I3" s="9" t="s">
        <v>6</v>
      </c>
    </row>
    <row r="4" ht="22.5" customHeight="1">
      <c r="A4" s="6" t="s">
        <v>10</v>
      </c>
      <c r="B4" s="7" t="s">
        <v>6</v>
      </c>
      <c r="C4" s="8"/>
      <c r="D4" s="10"/>
      <c r="F4" s="11" t="s">
        <v>11</v>
      </c>
      <c r="G4" s="12" t="s">
        <v>6</v>
      </c>
      <c r="H4" s="13" t="s">
        <v>6</v>
      </c>
      <c r="I4" s="14"/>
    </row>
    <row r="5" ht="22.5" customHeight="1">
      <c r="A5" s="6" t="s">
        <v>12</v>
      </c>
      <c r="B5" s="7" t="s">
        <v>6</v>
      </c>
      <c r="C5" s="8"/>
      <c r="D5" s="10"/>
      <c r="F5" s="6" t="s">
        <v>13</v>
      </c>
      <c r="G5" s="7" t="s">
        <v>6</v>
      </c>
      <c r="H5" s="7" t="s">
        <v>6</v>
      </c>
      <c r="I5" s="10"/>
    </row>
    <row r="6" ht="22.5" customHeight="1">
      <c r="A6" s="6" t="s">
        <v>14</v>
      </c>
      <c r="B6" s="8"/>
      <c r="C6" s="7" t="s">
        <v>6</v>
      </c>
      <c r="D6" s="9" t="s">
        <v>6</v>
      </c>
      <c r="F6" s="6" t="s">
        <v>15</v>
      </c>
      <c r="G6" s="8"/>
      <c r="H6" s="8"/>
      <c r="I6" s="9" t="s">
        <v>6</v>
      </c>
    </row>
    <row r="7" ht="22.5" customHeight="1">
      <c r="A7" s="6" t="s">
        <v>16</v>
      </c>
      <c r="B7" s="8"/>
      <c r="C7" s="7" t="s">
        <v>6</v>
      </c>
      <c r="D7" s="9" t="s">
        <v>6</v>
      </c>
      <c r="F7" s="15" t="s">
        <v>17</v>
      </c>
      <c r="G7" s="16"/>
      <c r="H7" s="16" t="s">
        <v>6</v>
      </c>
      <c r="I7" s="17" t="s">
        <v>6</v>
      </c>
    </row>
    <row r="8" ht="22.5" customHeight="1">
      <c r="A8" s="18" t="s">
        <v>18</v>
      </c>
      <c r="B8" s="19"/>
      <c r="C8" s="20" t="s">
        <v>6</v>
      </c>
      <c r="D8" s="21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5" max="5" width="16.5"/>
    <col customWidth="1" min="6" max="6" width="23.63"/>
  </cols>
  <sheetData>
    <row r="1">
      <c r="A1" s="22" t="s">
        <v>19</v>
      </c>
      <c r="B1" s="22" t="s">
        <v>20</v>
      </c>
      <c r="C1" s="22" t="s">
        <v>21</v>
      </c>
      <c r="D1" s="22" t="s">
        <v>22</v>
      </c>
      <c r="F1" s="22" t="s">
        <v>23</v>
      </c>
    </row>
    <row r="2">
      <c r="A2" s="22" t="s">
        <v>24</v>
      </c>
      <c r="B2" s="22">
        <v>10.0</v>
      </c>
      <c r="C2" s="22">
        <v>0.1</v>
      </c>
      <c r="D2" s="22">
        <v>0.025</v>
      </c>
      <c r="F2" s="22" t="s">
        <v>25</v>
      </c>
    </row>
    <row r="3">
      <c r="A3" s="22" t="s">
        <v>26</v>
      </c>
      <c r="B3" s="22">
        <v>10.0</v>
      </c>
      <c r="C3" s="22">
        <v>0.1</v>
      </c>
      <c r="D3" s="22">
        <v>0.025</v>
      </c>
    </row>
    <row r="4">
      <c r="A4" s="22" t="s">
        <v>27</v>
      </c>
      <c r="B4" s="22">
        <v>10.0</v>
      </c>
      <c r="C4" s="22">
        <v>0.1</v>
      </c>
      <c r="D4" s="22">
        <v>0.025</v>
      </c>
    </row>
    <row r="5">
      <c r="A5" s="22" t="s">
        <v>28</v>
      </c>
      <c r="B5" s="22">
        <v>10.0</v>
      </c>
      <c r="C5" s="22">
        <v>0.1</v>
      </c>
      <c r="D5" s="22">
        <v>0.025</v>
      </c>
    </row>
    <row r="7">
      <c r="A7" s="22" t="s">
        <v>29</v>
      </c>
      <c r="B7" s="22" t="s">
        <v>20</v>
      </c>
      <c r="F7" s="22" t="s">
        <v>23</v>
      </c>
    </row>
    <row r="8">
      <c r="A8" s="22" t="s">
        <v>30</v>
      </c>
      <c r="B8" s="22">
        <v>10.0</v>
      </c>
      <c r="F8" s="22">
        <v>80.0</v>
      </c>
    </row>
    <row r="9">
      <c r="A9" s="22" t="s">
        <v>31</v>
      </c>
      <c r="B9" s="22">
        <v>10.0</v>
      </c>
    </row>
    <row r="10">
      <c r="A10" s="22" t="s">
        <v>32</v>
      </c>
      <c r="B10" s="22">
        <v>10.0</v>
      </c>
    </row>
    <row r="11">
      <c r="A11" s="22" t="s">
        <v>33</v>
      </c>
      <c r="B11" s="22">
        <v>10.0</v>
      </c>
    </row>
    <row r="12">
      <c r="A12" s="22" t="s">
        <v>34</v>
      </c>
      <c r="B12" s="22">
        <v>10.0</v>
      </c>
    </row>
    <row r="13">
      <c r="A13" s="22" t="s">
        <v>35</v>
      </c>
      <c r="B13" s="22">
        <v>10.0</v>
      </c>
    </row>
    <row r="14">
      <c r="A14" s="22" t="s">
        <v>36</v>
      </c>
      <c r="B14" s="22">
        <v>20.0</v>
      </c>
    </row>
    <row r="16">
      <c r="A16" s="22" t="s">
        <v>37</v>
      </c>
      <c r="B16" s="22" t="s">
        <v>38</v>
      </c>
      <c r="C16" s="22" t="s">
        <v>39</v>
      </c>
      <c r="D16" s="22" t="s">
        <v>40</v>
      </c>
      <c r="E16" s="22" t="s">
        <v>41</v>
      </c>
      <c r="F16" s="22" t="s">
        <v>23</v>
      </c>
    </row>
    <row r="17">
      <c r="A17" s="22" t="s">
        <v>42</v>
      </c>
      <c r="B17" s="22">
        <v>1.0</v>
      </c>
      <c r="C17" s="22">
        <v>8.0</v>
      </c>
      <c r="D17" s="22">
        <v>15.0</v>
      </c>
      <c r="E17" s="22" t="s">
        <v>43</v>
      </c>
      <c r="F17" s="23">
        <f>1+SUM(C17:D20)+4+1</f>
        <v>80</v>
      </c>
    </row>
    <row r="18">
      <c r="A18" s="22" t="s">
        <v>44</v>
      </c>
      <c r="B18" s="22">
        <v>0.0</v>
      </c>
      <c r="C18" s="22">
        <v>7.0</v>
      </c>
      <c r="D18" s="22">
        <v>13.0</v>
      </c>
      <c r="E18" s="22" t="s">
        <v>45</v>
      </c>
    </row>
    <row r="19">
      <c r="A19" s="22" t="s">
        <v>46</v>
      </c>
      <c r="B19" s="22">
        <v>0.0</v>
      </c>
      <c r="C19" s="22">
        <v>6.0</v>
      </c>
      <c r="D19" s="22">
        <v>11.0</v>
      </c>
      <c r="E19" s="22" t="s">
        <v>47</v>
      </c>
    </row>
    <row r="20">
      <c r="A20" s="22" t="s">
        <v>48</v>
      </c>
      <c r="B20" s="22">
        <v>0.0</v>
      </c>
      <c r="C20" s="22">
        <v>5.0</v>
      </c>
      <c r="D20" s="22">
        <v>9.0</v>
      </c>
      <c r="E20" s="22" t="s">
        <v>49</v>
      </c>
    </row>
    <row r="21">
      <c r="A21" s="22" t="s">
        <v>50</v>
      </c>
      <c r="B21" s="22">
        <v>0.0</v>
      </c>
      <c r="C21" s="22">
        <v>4.0</v>
      </c>
      <c r="D21" s="22">
        <v>7.0</v>
      </c>
      <c r="E21" s="22" t="s">
        <v>51</v>
      </c>
    </row>
    <row r="22">
      <c r="A22" s="22" t="s">
        <v>52</v>
      </c>
      <c r="B22" s="22">
        <v>0.0</v>
      </c>
      <c r="C22" s="22">
        <v>3.0</v>
      </c>
      <c r="D22" s="22">
        <v>5.0</v>
      </c>
    </row>
    <row r="23">
      <c r="A23" s="22" t="s">
        <v>53</v>
      </c>
      <c r="B23" s="22">
        <v>0.0</v>
      </c>
      <c r="C23" s="22">
        <v>2.0</v>
      </c>
      <c r="D23" s="22">
        <v>3.0</v>
      </c>
    </row>
    <row r="24">
      <c r="A24" s="22" t="s">
        <v>54</v>
      </c>
      <c r="B24" s="22">
        <v>0.0</v>
      </c>
      <c r="C24" s="22">
        <v>1.0</v>
      </c>
      <c r="D24" s="22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55</v>
      </c>
      <c r="B1" s="22" t="s">
        <v>29</v>
      </c>
      <c r="C1" s="22" t="s">
        <v>19</v>
      </c>
      <c r="D1" s="22" t="s">
        <v>37</v>
      </c>
      <c r="E1" s="22" t="s">
        <v>56</v>
      </c>
    </row>
    <row r="2">
      <c r="A2" s="22" t="s">
        <v>0</v>
      </c>
      <c r="B2" s="23">
        <f>IF(SUM('Individual Results'!B2:B8)&lt;80,SUM('Individual Results'!B2:B8),80)</f>
        <v>20</v>
      </c>
      <c r="C2" s="23">
        <f>IF(SUM('Individual Results'!C2:C8)&lt;80,SUM('Individual Results'!C2:C8),80)</f>
        <v>0</v>
      </c>
      <c r="D2" s="23">
        <f>IF(SUM('Individual Results'!D2:D8)&lt;80,SUM('Individual Results'!D2:D8),80)</f>
        <v>0</v>
      </c>
      <c r="E2" s="23">
        <f t="shared" ref="E2:E3" si="1">SUM(B2:D2)</f>
        <v>20</v>
      </c>
    </row>
    <row r="3">
      <c r="A3" s="22" t="s">
        <v>4</v>
      </c>
      <c r="B3" s="23">
        <f>IF(SUM('Individual Results'!B9:B14)&lt;80,SUM('Individual Results'!B9:B14),80)</f>
        <v>80</v>
      </c>
      <c r="C3" s="23">
        <f>IF(SUM('Individual Results'!C9:C14)&lt;80,SUM('Individual Results'!C9:C14),80)</f>
        <v>0</v>
      </c>
      <c r="D3" s="23">
        <f>IF(SUM('Individual Results'!D9:D14)&lt;80,SUM('Individual Results'!D9:D14),80)</f>
        <v>0</v>
      </c>
      <c r="E3" s="23">
        <f t="shared" si="1"/>
        <v>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57</v>
      </c>
      <c r="B1" s="22" t="s">
        <v>29</v>
      </c>
      <c r="C1" s="22" t="s">
        <v>19</v>
      </c>
      <c r="D1" s="22" t="s">
        <v>37</v>
      </c>
      <c r="E1" s="22" t="s">
        <v>56</v>
      </c>
    </row>
    <row r="2">
      <c r="A2" s="22" t="s">
        <v>5</v>
      </c>
      <c r="B2" s="23">
        <f>SUMIFS('Fall Guys Results'!$C$2:$C$14,'Fall Guys Results'!$B$2:$B$14,A2)</f>
        <v>0</v>
      </c>
      <c r="C2" s="23">
        <f t="array" ref="C2">XLOOKUP(A2,'Halo Results AOB'!$A$2:$A$9,'Halo Results AOB'!$E$2:$E$9,0) + XLOOKUP(A2,'Halo Results LG'!$A$2:$A$9,'Halo Results LG'!$E$2:$E$9,0) + XLOOKUP(A2,'Halo Results OB'!$A$2:$A$9,'Halo Results OB'!$E$2:$E$9,0) + XLOOKUP(A2,'Halo Results CTF'!$A$2:$A$9,'Halo Results CTF'!$E$2:$E$9,0)</f>
        <v>0</v>
      </c>
      <c r="D2" s="23">
        <f t="array" ref="D2">XLOOKUP(A2,'Formula 1 Results'!$A$2:$A$9,'Formula 1 Results'!$J$2:$J$9,0)</f>
        <v>0</v>
      </c>
      <c r="E2" s="23">
        <f t="shared" ref="E2:E14" si="1">SUM(B2:D2)</f>
        <v>0</v>
      </c>
    </row>
    <row r="3">
      <c r="A3" s="22" t="s">
        <v>8</v>
      </c>
      <c r="B3" s="23">
        <f>SUMIFS('Fall Guys Results'!$C$2:$C$14,'Fall Guys Results'!$B$2:$B$14,A3)</f>
        <v>10</v>
      </c>
      <c r="C3" s="23">
        <f t="array" ref="C3">XLOOKUP(A3,'Halo Results AOB'!$A$2:$A$9,'Halo Results AOB'!$E$2:$E$9,0) + XLOOKUP(A3,'Halo Results LG'!$A$2:$A$9,'Halo Results LG'!$E$2:$E$9,0) + XLOOKUP(A3,'Halo Results OB'!$A$2:$A$9,'Halo Results OB'!$E$2:$E$9,0) + XLOOKUP(A3,'Halo Results CTF'!$A$2:$A$9,'Halo Results CTF'!$E$2:$E$9,0)</f>
        <v>0</v>
      </c>
      <c r="D3" s="23">
        <f t="array" ref="D3">XLOOKUP(A3,'Formula 1 Results'!$A$2:$A$9,'Formula 1 Results'!$J$2:$J$9,0)</f>
        <v>0</v>
      </c>
      <c r="E3" s="23">
        <f t="shared" si="1"/>
        <v>10</v>
      </c>
    </row>
    <row r="4">
      <c r="A4" s="22" t="s">
        <v>10</v>
      </c>
      <c r="B4" s="23">
        <f>SUMIFS('Fall Guys Results'!$C$2:$C$14,'Fall Guys Results'!$B$2:$B$14,A4)</f>
        <v>10</v>
      </c>
      <c r="C4" s="23">
        <f t="array" ref="C4">XLOOKUP(A4,'Halo Results AOB'!$A$2:$A$9,'Halo Results AOB'!$E$2:$E$9,0) + XLOOKUP(A4,'Halo Results LG'!$A$2:$A$9,'Halo Results LG'!$E$2:$E$9,0) + XLOOKUP(A4,'Halo Results OB'!$A$2:$A$9,'Halo Results OB'!$E$2:$E$9,0) + XLOOKUP(A4,'Halo Results CTF'!$A$2:$A$9,'Halo Results CTF'!$E$2:$E$9,0)</f>
        <v>0</v>
      </c>
      <c r="D4" s="23">
        <f t="array" ref="D4">XLOOKUP(A4,'Formula 1 Results'!$A$2:$A$9,'Formula 1 Results'!$J$2:$J$9,0)</f>
        <v>0</v>
      </c>
      <c r="E4" s="23">
        <f t="shared" si="1"/>
        <v>10</v>
      </c>
    </row>
    <row r="5">
      <c r="A5" s="22" t="s">
        <v>12</v>
      </c>
      <c r="B5" s="23">
        <f>SUMIFS('Fall Guys Results'!$C$2:$C$14,'Fall Guys Results'!$B$2:$B$14,A5)</f>
        <v>0</v>
      </c>
      <c r="C5" s="23">
        <f t="array" ref="C5">XLOOKUP(A5,'Halo Results AOB'!$A$2:$A$9,'Halo Results AOB'!$E$2:$E$9,0) + XLOOKUP(A5,'Halo Results LG'!$A$2:$A$9,'Halo Results LG'!$E$2:$E$9,0) + XLOOKUP(A5,'Halo Results OB'!$A$2:$A$9,'Halo Results OB'!$E$2:$E$9,0) + XLOOKUP(A5,'Halo Results CTF'!$A$2:$A$9,'Halo Results CTF'!$E$2:$E$9,0)</f>
        <v>0</v>
      </c>
      <c r="D5" s="23">
        <f t="array" ref="D5">XLOOKUP(A5,'Formula 1 Results'!$A$2:$A$9,'Formula 1 Results'!$J$2:$J$9,0)</f>
        <v>0</v>
      </c>
      <c r="E5" s="23">
        <f t="shared" si="1"/>
        <v>0</v>
      </c>
    </row>
    <row r="6">
      <c r="A6" s="22" t="s">
        <v>14</v>
      </c>
      <c r="B6" s="23">
        <f>SUMIFS('Fall Guys Results'!$C$2:$C$14,'Fall Guys Results'!$B$2:$B$14,A6)</f>
        <v>0</v>
      </c>
      <c r="C6" s="23">
        <f t="array" ref="C6">XLOOKUP(A6,'Halo Results AOB'!$A$2:$A$9,'Halo Results AOB'!$E$2:$E$9,0) + XLOOKUP(A6,'Halo Results LG'!$A$2:$A$9,'Halo Results LG'!$E$2:$E$9,0) + XLOOKUP(A6,'Halo Results OB'!$A$2:$A$9,'Halo Results OB'!$E$2:$E$9,0) + XLOOKUP(A6,'Halo Results CTF'!$A$2:$A$9,'Halo Results CTF'!$E$2:$E$9,0)</f>
        <v>0</v>
      </c>
      <c r="D6" s="23">
        <f t="array" ref="D6">XLOOKUP(A6,'Formula 1 Results'!$A$2:$A$9,'Formula 1 Results'!$J$2:$J$9,0)</f>
        <v>0</v>
      </c>
      <c r="E6" s="23">
        <f t="shared" si="1"/>
        <v>0</v>
      </c>
    </row>
    <row r="7">
      <c r="A7" s="22" t="s">
        <v>16</v>
      </c>
      <c r="B7" s="23">
        <f>SUMIFS('Fall Guys Results'!$C$2:$C$14,'Fall Guys Results'!$B$2:$B$14,A7)</f>
        <v>0</v>
      </c>
      <c r="C7" s="23">
        <f t="array" ref="C7">XLOOKUP(A7,'Halo Results AOB'!$A$2:$A$9,'Halo Results AOB'!$E$2:$E$9,0) + XLOOKUP(A7,'Halo Results LG'!$A$2:$A$9,'Halo Results LG'!$E$2:$E$9,0) + XLOOKUP(A7,'Halo Results OB'!$A$2:$A$9,'Halo Results OB'!$E$2:$E$9,0) + XLOOKUP(A7,'Halo Results CTF'!$A$2:$A$9,'Halo Results CTF'!$E$2:$E$9,0)</f>
        <v>0</v>
      </c>
      <c r="D7" s="23">
        <f t="array" ref="D7">XLOOKUP(A7,'Formula 1 Results'!$A$2:$A$9,'Formula 1 Results'!$J$2:$J$9,0)</f>
        <v>0</v>
      </c>
      <c r="E7" s="23">
        <f t="shared" si="1"/>
        <v>0</v>
      </c>
    </row>
    <row r="8">
      <c r="A8" s="24" t="s">
        <v>18</v>
      </c>
      <c r="B8" s="25">
        <f>SUMIFS('Fall Guys Results'!$C$2:$C$14,'Fall Guys Results'!$B$2:$B$14,A8)</f>
        <v>0</v>
      </c>
      <c r="C8" s="25">
        <f t="array" ref="C8">XLOOKUP(A8,'Halo Results AOB'!$A$2:$A$9,'Halo Results AOB'!$E$2:$E$9,0) + XLOOKUP(A8,'Halo Results LG'!$A$2:$A$9,'Halo Results LG'!$E$2:$E$9,0) + XLOOKUP(A8,'Halo Results OB'!$A$2:$A$9,'Halo Results OB'!$E$2:$E$9,0) + XLOOKUP(A8,'Halo Results CTF'!$A$2:$A$9,'Halo Results CTF'!$E$2:$E$9,0)</f>
        <v>0</v>
      </c>
      <c r="D8" s="25">
        <f t="array" ref="D8">XLOOKUP(A8,'Formula 1 Results'!$A$2:$A$9,'Formula 1 Results'!$J$2:$J$9,0)</f>
        <v>0</v>
      </c>
      <c r="E8" s="25">
        <f t="shared" si="1"/>
        <v>0</v>
      </c>
    </row>
    <row r="9">
      <c r="A9" s="22" t="s">
        <v>7</v>
      </c>
      <c r="B9" s="23">
        <f>SUMIFS('Fall Guys Results'!$C$2:$C$14,'Fall Guys Results'!$B$2:$B$14,A9)</f>
        <v>0</v>
      </c>
      <c r="C9" s="23">
        <f t="array" ref="C9">XLOOKUP(A9,'Halo Results AOB'!$A$2:$A$9,'Halo Results AOB'!$E$2:$E$9,0) + XLOOKUP(A9,'Halo Results LG'!$A$2:$A$9,'Halo Results LG'!$E$2:$E$9,0) + XLOOKUP(A9,'Halo Results OB'!$A$2:$A$9,'Halo Results OB'!$E$2:$E$9,0) + XLOOKUP(A9,'Halo Results CTF'!$A$2:$A$9,'Halo Results CTF'!$E$2:$E$9,0)</f>
        <v>0</v>
      </c>
      <c r="D9" s="23">
        <f t="array" ref="D9">XLOOKUP(A9,'Formula 1 Results'!$A$2:$A$9,'Formula 1 Results'!$J$2:$J$9,0)</f>
        <v>0</v>
      </c>
      <c r="E9" s="23">
        <f t="shared" si="1"/>
        <v>0</v>
      </c>
    </row>
    <row r="10">
      <c r="A10" s="22" t="s">
        <v>9</v>
      </c>
      <c r="B10" s="23">
        <f>SUMIFS('Fall Guys Results'!$C$2:$C$14,'Fall Guys Results'!$B$2:$B$14,A10)</f>
        <v>45</v>
      </c>
      <c r="C10" s="23">
        <f t="array" ref="C10">XLOOKUP(A10,'Halo Results AOB'!$A$2:$A$9,'Halo Results AOB'!$E$2:$E$9,0) + XLOOKUP(A10,'Halo Results LG'!$A$2:$A$9,'Halo Results LG'!$E$2:$E$9,0) + XLOOKUP(A10,'Halo Results OB'!$A$2:$A$9,'Halo Results OB'!$E$2:$E$9,0) + XLOOKUP(A10,'Halo Results CTF'!$A$2:$A$9,'Halo Results CTF'!$E$2:$E$9,0)</f>
        <v>0</v>
      </c>
      <c r="D10" s="23">
        <f t="array" ref="D10">XLOOKUP(A10,'Formula 1 Results'!$A$2:$A$9,'Formula 1 Results'!$J$2:$J$9,0)</f>
        <v>0</v>
      </c>
      <c r="E10" s="23">
        <f t="shared" si="1"/>
        <v>45</v>
      </c>
    </row>
    <row r="11">
      <c r="A11" s="26" t="s">
        <v>11</v>
      </c>
      <c r="B11" s="23">
        <f>SUMIFS('Fall Guys Results'!$C$2:$C$14,'Fall Guys Results'!$B$2:$B$14,A11)</f>
        <v>10</v>
      </c>
      <c r="C11" s="23">
        <f t="array" ref="C11">XLOOKUP(A11,'Halo Results AOB'!$A$2:$A$9,'Halo Results AOB'!$E$2:$E$9,0) + XLOOKUP(A11,'Halo Results LG'!$A$2:$A$9,'Halo Results LG'!$E$2:$E$9,0) + XLOOKUP(A11,'Halo Results OB'!$A$2:$A$9,'Halo Results OB'!$E$2:$E$9,0) + XLOOKUP(A11,'Halo Results CTF'!$A$2:$A$9,'Halo Results CTF'!$E$2:$E$9,0)</f>
        <v>0</v>
      </c>
      <c r="D11" s="23">
        <f t="array" ref="D11">XLOOKUP(A11,'Formula 1 Results'!$A$2:$A$9,'Formula 1 Results'!$J$2:$J$9,0)</f>
        <v>0</v>
      </c>
      <c r="E11" s="23">
        <f t="shared" si="1"/>
        <v>10</v>
      </c>
    </row>
    <row r="12">
      <c r="A12" s="22" t="s">
        <v>13</v>
      </c>
      <c r="B12" s="23">
        <f>SUMIFS('Fall Guys Results'!$C$2:$C$14,'Fall Guys Results'!$B$2:$B$14,A12)</f>
        <v>85</v>
      </c>
      <c r="C12" s="23">
        <f t="array" ref="C12">XLOOKUP(A12,'Halo Results AOB'!$A$2:$A$9,'Halo Results AOB'!$E$2:$E$9,0) + XLOOKUP(A12,'Halo Results LG'!$A$2:$A$9,'Halo Results LG'!$E$2:$E$9,0) + XLOOKUP(A12,'Halo Results OB'!$A$2:$A$9,'Halo Results OB'!$E$2:$E$9,0) + XLOOKUP(A12,'Halo Results CTF'!$A$2:$A$9,'Halo Results CTF'!$E$2:$E$9,0)</f>
        <v>0</v>
      </c>
      <c r="D12" s="23">
        <f t="array" ref="D12">XLOOKUP(A12,'Formula 1 Results'!$A$2:$A$9,'Formula 1 Results'!$J$2:$J$9,0)</f>
        <v>0</v>
      </c>
      <c r="E12" s="23">
        <f t="shared" si="1"/>
        <v>85</v>
      </c>
    </row>
    <row r="13">
      <c r="A13" s="22" t="s">
        <v>15</v>
      </c>
      <c r="B13" s="23">
        <f>SUMIFS('Fall Guys Results'!$C$2:$C$14,'Fall Guys Results'!$B$2:$B$14,A13)</f>
        <v>0</v>
      </c>
      <c r="C13" s="23">
        <f t="array" ref="C13">XLOOKUP(A13,'Halo Results AOB'!$A$2:$A$9,'Halo Results AOB'!$E$2:$E$9,0) + XLOOKUP(A13,'Halo Results LG'!$A$2:$A$9,'Halo Results LG'!$E$2:$E$9,0) + XLOOKUP(A13,'Halo Results OB'!$A$2:$A$9,'Halo Results OB'!$E$2:$E$9,0) + XLOOKUP(A13,'Halo Results CTF'!$A$2:$A$9,'Halo Results CTF'!$E$2:$E$9,0)</f>
        <v>0</v>
      </c>
      <c r="D13" s="23">
        <f t="array" ref="D13">XLOOKUP(A13,'Formula 1 Results'!$A$2:$A$9,'Formula 1 Results'!$J$2:$J$9,0)</f>
        <v>0</v>
      </c>
      <c r="E13" s="23">
        <f t="shared" si="1"/>
        <v>0</v>
      </c>
    </row>
    <row r="14">
      <c r="A14" s="26" t="s">
        <v>17</v>
      </c>
      <c r="B14" s="23">
        <f>SUMIFS('Fall Guys Results'!$C$2:$C$14,'Fall Guys Results'!$B$2:$B$14,A14)</f>
        <v>0</v>
      </c>
      <c r="C14" s="23">
        <f t="array" ref="C14">XLOOKUP(A14,'Halo Results AOB'!$A$2:$A$9,'Halo Results AOB'!$E$2:$E$9,0) + XLOOKUP(A14,'Halo Results LG'!$A$2:$A$9,'Halo Results LG'!$E$2:$E$9,0) + XLOOKUP(A14,'Halo Results OB'!$A$2:$A$9,'Halo Results OB'!$E$2:$E$9,0) + XLOOKUP(A14,'Halo Results CTF'!$A$2:$A$9,'Halo Results CTF'!$E$2:$E$9,0)</f>
        <v>0</v>
      </c>
      <c r="D14" s="23">
        <f t="array" ref="D14">XLOOKUP(A14,'Formula 1 Results'!$A$2:$A$9,'Formula 1 Results'!$J$2:$J$9,0)</f>
        <v>0</v>
      </c>
      <c r="E14" s="23">
        <f t="shared" si="1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22" t="s">
        <v>58</v>
      </c>
      <c r="B1" s="22" t="s">
        <v>59</v>
      </c>
      <c r="C1" s="22" t="s">
        <v>60</v>
      </c>
    </row>
    <row r="2">
      <c r="A2" s="22" t="s">
        <v>33</v>
      </c>
      <c r="B2" s="22" t="s">
        <v>10</v>
      </c>
      <c r="C2" s="22">
        <v>10.0</v>
      </c>
    </row>
    <row r="3">
      <c r="A3" s="22" t="s">
        <v>61</v>
      </c>
      <c r="B3" s="22" t="s">
        <v>13</v>
      </c>
      <c r="C3" s="22">
        <v>10.0</v>
      </c>
    </row>
    <row r="4">
      <c r="A4" s="22" t="s">
        <v>62</v>
      </c>
      <c r="B4" s="22" t="s">
        <v>8</v>
      </c>
      <c r="C4" s="22">
        <v>10.0</v>
      </c>
    </row>
    <row r="5">
      <c r="A5" s="22" t="s">
        <v>35</v>
      </c>
      <c r="B5" s="22" t="s">
        <v>13</v>
      </c>
      <c r="C5" s="22">
        <v>10.0</v>
      </c>
    </row>
    <row r="6">
      <c r="A6" s="22" t="s">
        <v>63</v>
      </c>
      <c r="B6" s="22" t="s">
        <v>13</v>
      </c>
      <c r="C6" s="22">
        <v>10.0</v>
      </c>
    </row>
    <row r="7">
      <c r="A7" s="22" t="s">
        <v>32</v>
      </c>
      <c r="B7" s="22" t="s">
        <v>9</v>
      </c>
      <c r="C7" s="22">
        <v>5.0</v>
      </c>
    </row>
    <row r="8">
      <c r="A8" s="22" t="s">
        <v>32</v>
      </c>
      <c r="B8" s="22" t="s">
        <v>13</v>
      </c>
      <c r="C8" s="22">
        <v>5.0</v>
      </c>
    </row>
    <row r="9">
      <c r="A9" s="22" t="s">
        <v>62</v>
      </c>
      <c r="B9" s="22" t="s">
        <v>13</v>
      </c>
      <c r="C9" s="22">
        <v>10.0</v>
      </c>
    </row>
    <row r="10">
      <c r="A10" s="22" t="s">
        <v>33</v>
      </c>
      <c r="B10" s="22" t="s">
        <v>11</v>
      </c>
      <c r="C10" s="22">
        <v>10.0</v>
      </c>
    </row>
    <row r="11">
      <c r="A11" s="22" t="s">
        <v>36</v>
      </c>
      <c r="B11" s="22" t="s">
        <v>13</v>
      </c>
      <c r="C11" s="22">
        <v>20.0</v>
      </c>
    </row>
    <row r="12">
      <c r="A12" s="22" t="s">
        <v>63</v>
      </c>
      <c r="B12" s="22" t="s">
        <v>9</v>
      </c>
      <c r="C12" s="22">
        <v>20.0</v>
      </c>
    </row>
    <row r="13">
      <c r="A13" s="22" t="s">
        <v>64</v>
      </c>
      <c r="B13" s="22" t="s">
        <v>9</v>
      </c>
      <c r="C13" s="22">
        <v>20.0</v>
      </c>
    </row>
    <row r="14">
      <c r="A14" s="22" t="s">
        <v>65</v>
      </c>
      <c r="B14" s="22" t="s">
        <v>13</v>
      </c>
      <c r="C14" s="22">
        <v>20.0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22" t="s">
        <v>57</v>
      </c>
      <c r="B1" s="22" t="s">
        <v>66</v>
      </c>
      <c r="C1" s="22" t="s">
        <v>67</v>
      </c>
      <c r="D1" s="22" t="s">
        <v>20</v>
      </c>
      <c r="E1" s="22" t="s">
        <v>56</v>
      </c>
      <c r="G1" s="22" t="s">
        <v>21</v>
      </c>
      <c r="H1" s="22">
        <v>0.1</v>
      </c>
    </row>
    <row r="2">
      <c r="A2" s="22" t="s">
        <v>5</v>
      </c>
      <c r="E2" s="23">
        <f t="shared" ref="E2:E9" si="1">B2*$H$1 + C2*$H$2 + D2*$H$3</f>
        <v>0</v>
      </c>
      <c r="G2" s="22" t="s">
        <v>22</v>
      </c>
      <c r="H2" s="22">
        <v>0.025</v>
      </c>
    </row>
    <row r="3">
      <c r="A3" s="22" t="s">
        <v>18</v>
      </c>
      <c r="D3" s="22">
        <v>0.0</v>
      </c>
      <c r="E3" s="23">
        <f t="shared" si="1"/>
        <v>0</v>
      </c>
      <c r="G3" s="22" t="s">
        <v>20</v>
      </c>
      <c r="H3" s="22">
        <v>10.0</v>
      </c>
    </row>
    <row r="4">
      <c r="A4" s="22" t="s">
        <v>16</v>
      </c>
      <c r="D4" s="22">
        <v>0.0</v>
      </c>
      <c r="E4" s="23">
        <f t="shared" si="1"/>
        <v>0</v>
      </c>
    </row>
    <row r="5">
      <c r="A5" s="24" t="s">
        <v>14</v>
      </c>
      <c r="B5" s="25"/>
      <c r="C5" s="25"/>
      <c r="D5" s="24">
        <v>0.0</v>
      </c>
      <c r="E5" s="25">
        <f t="shared" si="1"/>
        <v>0</v>
      </c>
    </row>
    <row r="6">
      <c r="A6" s="22" t="s">
        <v>11</v>
      </c>
      <c r="E6" s="23">
        <f t="shared" si="1"/>
        <v>0</v>
      </c>
    </row>
    <row r="7">
      <c r="A7" s="22" t="s">
        <v>7</v>
      </c>
      <c r="D7" s="22">
        <v>0.0</v>
      </c>
      <c r="E7" s="23">
        <f t="shared" si="1"/>
        <v>0</v>
      </c>
    </row>
    <row r="8">
      <c r="A8" s="22" t="s">
        <v>13</v>
      </c>
      <c r="D8" s="22">
        <v>0.0</v>
      </c>
      <c r="E8" s="23">
        <f t="shared" si="1"/>
        <v>0</v>
      </c>
    </row>
    <row r="9">
      <c r="A9" s="22" t="s">
        <v>17</v>
      </c>
      <c r="D9" s="22">
        <v>0.0</v>
      </c>
      <c r="E9" s="23">
        <f t="shared" si="1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22" t="s">
        <v>57</v>
      </c>
      <c r="B1" s="22" t="s">
        <v>66</v>
      </c>
      <c r="C1" s="22" t="s">
        <v>67</v>
      </c>
      <c r="D1" s="22" t="s">
        <v>20</v>
      </c>
      <c r="E1" s="22" t="s">
        <v>56</v>
      </c>
      <c r="G1" s="22" t="s">
        <v>21</v>
      </c>
      <c r="H1" s="22">
        <v>0.1</v>
      </c>
    </row>
    <row r="2">
      <c r="A2" s="22" t="s">
        <v>5</v>
      </c>
      <c r="E2" s="23">
        <f t="shared" ref="E2:E9" si="1">B2*$H$1 + C2*$H$2 + D2*$H$3</f>
        <v>0</v>
      </c>
      <c r="G2" s="22" t="s">
        <v>22</v>
      </c>
      <c r="H2" s="22">
        <v>0.025</v>
      </c>
    </row>
    <row r="3">
      <c r="A3" s="22" t="s">
        <v>18</v>
      </c>
      <c r="D3" s="22">
        <v>0.0</v>
      </c>
      <c r="E3" s="23">
        <f t="shared" si="1"/>
        <v>0</v>
      </c>
      <c r="G3" s="22" t="s">
        <v>20</v>
      </c>
      <c r="H3" s="22">
        <v>10.0</v>
      </c>
    </row>
    <row r="4">
      <c r="A4" s="22" t="s">
        <v>16</v>
      </c>
      <c r="D4" s="22">
        <v>0.0</v>
      </c>
      <c r="E4" s="23">
        <f t="shared" si="1"/>
        <v>0</v>
      </c>
    </row>
    <row r="5">
      <c r="A5" s="24" t="s">
        <v>14</v>
      </c>
      <c r="B5" s="25"/>
      <c r="C5" s="25"/>
      <c r="D5" s="24">
        <v>0.0</v>
      </c>
      <c r="E5" s="25">
        <f t="shared" si="1"/>
        <v>0</v>
      </c>
    </row>
    <row r="6">
      <c r="A6" s="22" t="s">
        <v>11</v>
      </c>
      <c r="E6" s="23">
        <f t="shared" si="1"/>
        <v>0</v>
      </c>
    </row>
    <row r="7">
      <c r="A7" s="22" t="s">
        <v>7</v>
      </c>
      <c r="D7" s="22">
        <v>0.0</v>
      </c>
      <c r="E7" s="23">
        <f t="shared" si="1"/>
        <v>0</v>
      </c>
    </row>
    <row r="8">
      <c r="A8" s="22" t="s">
        <v>13</v>
      </c>
      <c r="D8" s="22">
        <v>0.0</v>
      </c>
      <c r="E8" s="23">
        <f t="shared" si="1"/>
        <v>0</v>
      </c>
    </row>
    <row r="9">
      <c r="A9" s="22" t="s">
        <v>17</v>
      </c>
      <c r="D9" s="22">
        <v>0.0</v>
      </c>
      <c r="E9" s="23">
        <f t="shared" si="1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22" t="s">
        <v>57</v>
      </c>
      <c r="B1" s="22" t="s">
        <v>66</v>
      </c>
      <c r="C1" s="22" t="s">
        <v>67</v>
      </c>
      <c r="D1" s="22" t="s">
        <v>20</v>
      </c>
      <c r="E1" s="22" t="s">
        <v>56</v>
      </c>
      <c r="G1" s="22" t="s">
        <v>21</v>
      </c>
      <c r="H1" s="22">
        <v>0.1</v>
      </c>
    </row>
    <row r="2">
      <c r="A2" s="22" t="s">
        <v>5</v>
      </c>
      <c r="E2" s="23">
        <f t="shared" ref="E2:E9" si="1">B2*$H$1 + C2*$H$2 + D2*$H$3</f>
        <v>0</v>
      </c>
      <c r="G2" s="22" t="s">
        <v>22</v>
      </c>
      <c r="H2" s="22">
        <v>0.025</v>
      </c>
    </row>
    <row r="3">
      <c r="A3" s="22" t="s">
        <v>18</v>
      </c>
      <c r="D3" s="22">
        <v>0.0</v>
      </c>
      <c r="E3" s="23">
        <f t="shared" si="1"/>
        <v>0</v>
      </c>
      <c r="G3" s="22" t="s">
        <v>20</v>
      </c>
      <c r="H3" s="22">
        <v>10.0</v>
      </c>
    </row>
    <row r="4">
      <c r="A4" s="22" t="s">
        <v>16</v>
      </c>
      <c r="D4" s="22">
        <v>0.0</v>
      </c>
      <c r="E4" s="23">
        <f t="shared" si="1"/>
        <v>0</v>
      </c>
    </row>
    <row r="5">
      <c r="A5" s="24" t="s">
        <v>14</v>
      </c>
      <c r="B5" s="25"/>
      <c r="C5" s="25"/>
      <c r="D5" s="24">
        <v>0.0</v>
      </c>
      <c r="E5" s="25">
        <f t="shared" si="1"/>
        <v>0</v>
      </c>
    </row>
    <row r="6">
      <c r="A6" s="22" t="s">
        <v>11</v>
      </c>
      <c r="E6" s="23">
        <f t="shared" si="1"/>
        <v>0</v>
      </c>
    </row>
    <row r="7">
      <c r="A7" s="22" t="s">
        <v>7</v>
      </c>
      <c r="D7" s="22">
        <v>0.0</v>
      </c>
      <c r="E7" s="23">
        <f t="shared" si="1"/>
        <v>0</v>
      </c>
    </row>
    <row r="8">
      <c r="A8" s="22" t="s">
        <v>13</v>
      </c>
      <c r="D8" s="22">
        <v>0.0</v>
      </c>
      <c r="E8" s="23">
        <f t="shared" si="1"/>
        <v>0</v>
      </c>
    </row>
    <row r="9">
      <c r="A9" s="22" t="s">
        <v>17</v>
      </c>
      <c r="D9" s="22">
        <v>0.0</v>
      </c>
      <c r="E9" s="23">
        <f t="shared" si="1"/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22" t="s">
        <v>57</v>
      </c>
      <c r="B1" s="22" t="s">
        <v>66</v>
      </c>
      <c r="C1" s="22" t="s">
        <v>67</v>
      </c>
      <c r="D1" s="22" t="s">
        <v>20</v>
      </c>
      <c r="E1" s="22" t="s">
        <v>56</v>
      </c>
      <c r="G1" s="22" t="s">
        <v>21</v>
      </c>
      <c r="H1" s="22">
        <v>0.1</v>
      </c>
    </row>
    <row r="2">
      <c r="A2" s="22" t="s">
        <v>5</v>
      </c>
      <c r="E2" s="23">
        <f t="shared" ref="E2:E9" si="1">B2*$H$1 + C2*$H$2 + D2*$H$3</f>
        <v>0</v>
      </c>
      <c r="G2" s="22" t="s">
        <v>22</v>
      </c>
      <c r="H2" s="22">
        <v>0.025</v>
      </c>
    </row>
    <row r="3">
      <c r="A3" s="22" t="s">
        <v>18</v>
      </c>
      <c r="D3" s="22">
        <v>0.0</v>
      </c>
      <c r="E3" s="23">
        <f t="shared" si="1"/>
        <v>0</v>
      </c>
      <c r="G3" s="22" t="s">
        <v>20</v>
      </c>
      <c r="H3" s="22">
        <v>10.0</v>
      </c>
    </row>
    <row r="4">
      <c r="A4" s="22" t="s">
        <v>16</v>
      </c>
      <c r="D4" s="22">
        <v>0.0</v>
      </c>
      <c r="E4" s="23">
        <f t="shared" si="1"/>
        <v>0</v>
      </c>
    </row>
    <row r="5">
      <c r="A5" s="24" t="s">
        <v>14</v>
      </c>
      <c r="B5" s="25"/>
      <c r="C5" s="25"/>
      <c r="D5" s="24">
        <v>0.0</v>
      </c>
      <c r="E5" s="25">
        <f t="shared" si="1"/>
        <v>0</v>
      </c>
    </row>
    <row r="6">
      <c r="A6" s="22" t="s">
        <v>11</v>
      </c>
      <c r="E6" s="23">
        <f t="shared" si="1"/>
        <v>0</v>
      </c>
    </row>
    <row r="7">
      <c r="A7" s="22" t="s">
        <v>7</v>
      </c>
      <c r="D7" s="22">
        <v>0.0</v>
      </c>
      <c r="E7" s="23">
        <f t="shared" si="1"/>
        <v>0</v>
      </c>
    </row>
    <row r="8">
      <c r="A8" s="22" t="s">
        <v>13</v>
      </c>
      <c r="D8" s="22">
        <v>0.0</v>
      </c>
      <c r="E8" s="23">
        <f t="shared" si="1"/>
        <v>0</v>
      </c>
    </row>
    <row r="9">
      <c r="A9" s="22" t="s">
        <v>17</v>
      </c>
      <c r="D9" s="22">
        <v>0.0</v>
      </c>
      <c r="E9" s="23">
        <f t="shared" si="1"/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22" t="s">
        <v>57</v>
      </c>
      <c r="B1" s="22" t="s">
        <v>66</v>
      </c>
      <c r="C1" s="22" t="s">
        <v>67</v>
      </c>
      <c r="D1" s="22" t="s">
        <v>20</v>
      </c>
      <c r="E1" s="22" t="s">
        <v>56</v>
      </c>
      <c r="G1" s="22" t="s">
        <v>21</v>
      </c>
      <c r="H1" s="22">
        <v>0.1</v>
      </c>
    </row>
    <row r="2">
      <c r="A2" s="22" t="s">
        <v>5</v>
      </c>
      <c r="B2" s="23">
        <f>'Halo Results OB'!B2 + 'Halo Results LG'!B2 + 'Halo Results AOB'!B2 + 'Halo Results CTF'!B2</f>
        <v>0</v>
      </c>
      <c r="C2" s="23">
        <f>'Halo Results OB'!C2 + 'Halo Results LG'!C2 + 'Halo Results AOB'!C2 + 'Halo Results CTF'!C2</f>
        <v>0</v>
      </c>
      <c r="D2" s="23">
        <f>'Halo Results OB'!D2 + 'Halo Results LG'!D2 + 'Halo Results AOB'!D2 + 'Halo Results CTF'!D2</f>
        <v>0</v>
      </c>
      <c r="E2" s="23">
        <f t="shared" ref="E2:E9" si="1">B2*$H$1 + C2*$H$2 + D2*$H$3</f>
        <v>0</v>
      </c>
      <c r="G2" s="22" t="s">
        <v>22</v>
      </c>
      <c r="H2" s="22">
        <v>0.025</v>
      </c>
    </row>
    <row r="3">
      <c r="A3" s="22" t="s">
        <v>18</v>
      </c>
      <c r="B3" s="23">
        <f>'Halo Results OB'!B3 + 'Halo Results LG'!B3 + 'Halo Results AOB'!B3 + 'Halo Results CTF'!B3</f>
        <v>0</v>
      </c>
      <c r="C3" s="23">
        <f>'Halo Results OB'!C3 + 'Halo Results LG'!C3 + 'Halo Results AOB'!C3 + 'Halo Results CTF'!C3</f>
        <v>0</v>
      </c>
      <c r="D3" s="22">
        <v>0.0</v>
      </c>
      <c r="E3" s="23">
        <f t="shared" si="1"/>
        <v>0</v>
      </c>
      <c r="G3" s="22" t="s">
        <v>20</v>
      </c>
      <c r="H3" s="22">
        <v>10.0</v>
      </c>
    </row>
    <row r="4">
      <c r="A4" s="22" t="s">
        <v>16</v>
      </c>
      <c r="B4" s="23">
        <f>'Halo Results OB'!B4 + 'Halo Results LG'!B4 + 'Halo Results AOB'!B4 + 'Halo Results CTF'!B4</f>
        <v>0</v>
      </c>
      <c r="C4" s="23">
        <f>'Halo Results OB'!C4 + 'Halo Results LG'!C4 + 'Halo Results AOB'!C4 + 'Halo Results CTF'!C4</f>
        <v>0</v>
      </c>
      <c r="D4" s="22">
        <v>0.0</v>
      </c>
      <c r="E4" s="23">
        <f t="shared" si="1"/>
        <v>0</v>
      </c>
    </row>
    <row r="5">
      <c r="A5" s="24" t="s">
        <v>14</v>
      </c>
      <c r="B5" s="25">
        <f>'Halo Results OB'!B5 + 'Halo Results LG'!B5 + 'Halo Results AOB'!B5 + 'Halo Results CTF'!B5</f>
        <v>0</v>
      </c>
      <c r="C5" s="25">
        <f>'Halo Results OB'!C5 + 'Halo Results LG'!C5 + 'Halo Results AOB'!C5 + 'Halo Results CTF'!C5</f>
        <v>0</v>
      </c>
      <c r="D5" s="24">
        <v>0.0</v>
      </c>
      <c r="E5" s="25">
        <f t="shared" si="1"/>
        <v>0</v>
      </c>
    </row>
    <row r="6">
      <c r="A6" s="22" t="s">
        <v>11</v>
      </c>
      <c r="B6" s="23">
        <f>'Halo Results OB'!B6 + 'Halo Results LG'!B6 + 'Halo Results AOB'!B6 + 'Halo Results CTF'!B6</f>
        <v>0</v>
      </c>
      <c r="C6" s="23">
        <f>'Halo Results OB'!C6 + 'Halo Results LG'!C6 + 'Halo Results AOB'!C6 + 'Halo Results CTF'!C6</f>
        <v>0</v>
      </c>
      <c r="D6" s="23">
        <f>'Halo Results OB'!D6 + 'Halo Results LG'!D6 + 'Halo Results AOB'!D6 + 'Halo Results CTF'!D6</f>
        <v>0</v>
      </c>
      <c r="E6" s="23">
        <f t="shared" si="1"/>
        <v>0</v>
      </c>
    </row>
    <row r="7">
      <c r="A7" s="22" t="s">
        <v>7</v>
      </c>
      <c r="B7" s="23">
        <f>'Halo Results OB'!B7 + 'Halo Results LG'!B7 + 'Halo Results AOB'!B7 + 'Halo Results CTF'!B7</f>
        <v>0</v>
      </c>
      <c r="C7" s="23">
        <f>'Halo Results OB'!C7 + 'Halo Results LG'!C7 + 'Halo Results AOB'!C7 + 'Halo Results CTF'!C7</f>
        <v>0</v>
      </c>
      <c r="D7" s="22">
        <v>0.0</v>
      </c>
      <c r="E7" s="23">
        <f t="shared" si="1"/>
        <v>0</v>
      </c>
    </row>
    <row r="8">
      <c r="A8" s="22" t="s">
        <v>13</v>
      </c>
      <c r="B8" s="23">
        <f>'Halo Results OB'!B8 + 'Halo Results LG'!B8 + 'Halo Results AOB'!B8 + 'Halo Results CTF'!B8</f>
        <v>0</v>
      </c>
      <c r="C8" s="23">
        <f>'Halo Results OB'!C8 + 'Halo Results LG'!C8 + 'Halo Results AOB'!C8 + 'Halo Results CTF'!C8</f>
        <v>0</v>
      </c>
      <c r="D8" s="22">
        <v>0.0</v>
      </c>
      <c r="E8" s="23">
        <f t="shared" si="1"/>
        <v>0</v>
      </c>
    </row>
    <row r="9">
      <c r="A9" s="22" t="s">
        <v>17</v>
      </c>
      <c r="B9" s="23">
        <f>'Halo Results OB'!B9 + 'Halo Results LG'!B9 + 'Halo Results AOB'!B9 + 'Halo Results CTF'!B9</f>
        <v>0</v>
      </c>
      <c r="C9" s="23">
        <f>'Halo Results OB'!C9 + 'Halo Results LG'!C9 + 'Halo Results AOB'!C9 + 'Halo Results CTF'!C9</f>
        <v>0</v>
      </c>
      <c r="D9" s="22">
        <v>0.0</v>
      </c>
      <c r="E9" s="23">
        <f t="shared" si="1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68</v>
      </c>
      <c r="B1" s="22" t="s">
        <v>38</v>
      </c>
      <c r="C1" s="22" t="s">
        <v>39</v>
      </c>
      <c r="D1" s="22" t="s">
        <v>69</v>
      </c>
      <c r="E1" s="22" t="s">
        <v>40</v>
      </c>
      <c r="F1" s="22" t="s">
        <v>70</v>
      </c>
      <c r="G1" s="22" t="s">
        <v>47</v>
      </c>
      <c r="H1" s="22" t="s">
        <v>49</v>
      </c>
      <c r="I1" s="22" t="s">
        <v>51</v>
      </c>
      <c r="J1" s="22" t="s">
        <v>56</v>
      </c>
      <c r="L1" s="22" t="s">
        <v>71</v>
      </c>
      <c r="M1" s="22" t="s">
        <v>72</v>
      </c>
      <c r="O1" s="22" t="s">
        <v>73</v>
      </c>
      <c r="P1" s="22" t="s">
        <v>74</v>
      </c>
    </row>
    <row r="2">
      <c r="A2" s="22" t="s">
        <v>5</v>
      </c>
      <c r="J2" s="23">
        <f t="shared" ref="J2:J9" si="1">IF(B2=1,1,0) + XLOOKUP(C2,$L$2:$L$9,$M$2:$M$9,0) + IF(D2="Y",1,0) + XLOOKUP(E2,$O$2:$O$9,$P$2:$P$9,0) + IF(F2="Y",1,0) + IF(G2="Y",1,0) + IF(H2="Y",1,0) + IF(I2="Y",1,0)</f>
        <v>0</v>
      </c>
      <c r="L2" s="22">
        <v>1.0</v>
      </c>
      <c r="M2" s="22">
        <v>8.0</v>
      </c>
      <c r="O2" s="22">
        <v>1.0</v>
      </c>
      <c r="P2" s="22">
        <v>15.0</v>
      </c>
    </row>
    <row r="3">
      <c r="A3" s="22" t="s">
        <v>8</v>
      </c>
      <c r="J3" s="23">
        <f t="shared" si="1"/>
        <v>0</v>
      </c>
      <c r="L3" s="22">
        <v>2.0</v>
      </c>
      <c r="M3" s="22">
        <v>7.0</v>
      </c>
      <c r="O3" s="22">
        <v>2.0</v>
      </c>
      <c r="P3" s="22">
        <v>13.0</v>
      </c>
    </row>
    <row r="4">
      <c r="A4" s="22" t="s">
        <v>14</v>
      </c>
      <c r="J4" s="23">
        <f t="shared" si="1"/>
        <v>0</v>
      </c>
      <c r="L4" s="22">
        <v>3.0</v>
      </c>
      <c r="M4" s="22">
        <v>6.0</v>
      </c>
      <c r="O4" s="22">
        <v>3.0</v>
      </c>
      <c r="P4" s="22">
        <v>11.0</v>
      </c>
    </row>
    <row r="5">
      <c r="A5" s="24" t="s">
        <v>16</v>
      </c>
      <c r="B5" s="25"/>
      <c r="C5" s="25"/>
      <c r="D5" s="25"/>
      <c r="E5" s="25"/>
      <c r="F5" s="25"/>
      <c r="G5" s="25"/>
      <c r="H5" s="25"/>
      <c r="I5" s="25"/>
      <c r="J5" s="25">
        <f t="shared" si="1"/>
        <v>0</v>
      </c>
      <c r="L5" s="22">
        <v>4.0</v>
      </c>
      <c r="M5" s="22">
        <v>5.0</v>
      </c>
      <c r="O5" s="22">
        <v>4.0</v>
      </c>
      <c r="P5" s="22">
        <v>9.0</v>
      </c>
    </row>
    <row r="6">
      <c r="A6" s="22" t="s">
        <v>7</v>
      </c>
      <c r="J6" s="23">
        <f t="shared" si="1"/>
        <v>0</v>
      </c>
      <c r="L6" s="22">
        <v>5.0</v>
      </c>
      <c r="M6" s="22">
        <v>4.0</v>
      </c>
      <c r="O6" s="22">
        <v>5.0</v>
      </c>
      <c r="P6" s="22">
        <v>7.0</v>
      </c>
    </row>
    <row r="7">
      <c r="A7" s="22" t="s">
        <v>17</v>
      </c>
      <c r="J7" s="23">
        <f t="shared" si="1"/>
        <v>0</v>
      </c>
      <c r="L7" s="22">
        <v>6.0</v>
      </c>
      <c r="M7" s="22">
        <v>3.0</v>
      </c>
      <c r="O7" s="22">
        <v>6.0</v>
      </c>
      <c r="P7" s="22">
        <v>5.0</v>
      </c>
    </row>
    <row r="8">
      <c r="A8" s="22" t="s">
        <v>9</v>
      </c>
      <c r="J8" s="23">
        <f t="shared" si="1"/>
        <v>0</v>
      </c>
      <c r="L8" s="22">
        <v>7.0</v>
      </c>
      <c r="M8" s="22">
        <v>2.0</v>
      </c>
      <c r="O8" s="22">
        <v>7.0</v>
      </c>
      <c r="P8" s="22">
        <v>3.0</v>
      </c>
    </row>
    <row r="9">
      <c r="A9" s="22" t="s">
        <v>15</v>
      </c>
      <c r="J9" s="23">
        <f t="shared" si="1"/>
        <v>0</v>
      </c>
      <c r="L9" s="22">
        <v>8.0</v>
      </c>
      <c r="M9" s="22">
        <v>1.0</v>
      </c>
      <c r="O9" s="22">
        <v>8.0</v>
      </c>
      <c r="P9" s="22">
        <v>1.0</v>
      </c>
    </row>
  </sheetData>
  <drawing r:id="rId1"/>
</worksheet>
</file>